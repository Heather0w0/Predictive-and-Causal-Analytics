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9"/>
  <workbookPr/>
  <mc:AlternateContent xmlns:mc="http://schemas.openxmlformats.org/markup-compatibility/2006">
    <mc:Choice Requires="x15">
      <x15ac:absPath xmlns:x15ac="http://schemas.microsoft.com/office/spreadsheetml/2010/11/ac" url="/Users/heather/Downloads/"/>
    </mc:Choice>
  </mc:AlternateContent>
  <xr:revisionPtr revIDLastSave="0" documentId="13_ncr:1_{6414BCE5-8B4A-D747-9A84-5A2B742ACA42}" xr6:coauthVersionLast="47" xr6:coauthVersionMax="47" xr10:uidLastSave="{00000000-0000-0000-0000-000000000000}"/>
  <bookViews>
    <workbookView xWindow="12000" yWindow="780" windowWidth="22200" windowHeight="13140" xr2:uid="{00000000-000D-0000-FFFF-FFFF00000000}"/>
  </bookViews>
  <sheets>
    <sheet name="Question 1" sheetId="4" r:id="rId1"/>
    <sheet name="Question 2"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4" l="1" a="1"/>
  <c r="C11" i="4" s="1"/>
  <c r="C1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<sst xmlns="http://schemas.openxmlformats.org/spreadsheetml/2006/main" count="60" uniqueCount="56">
  <si>
    <t>Profit</t>
  </si>
  <si>
    <t>Probability</t>
  </si>
  <si>
    <t>Maximax</t>
  </si>
  <si>
    <t>Maximin</t>
  </si>
  <si>
    <t>EMV</t>
  </si>
  <si>
    <t>EOL</t>
  </si>
  <si>
    <t>Project</t>
  </si>
  <si>
    <t>Alpha</t>
  </si>
  <si>
    <t>Bravo</t>
  </si>
  <si>
    <t>Charlie</t>
  </si>
  <si>
    <t>b.  Calculate Bonita's expected utility of profit for Projects Alpha, Bravo and Charlie</t>
  </si>
  <si>
    <t>g.  If Jasper is maximizing expected utility, which project will he choose?</t>
  </si>
  <si>
    <t>c.  If Bonita is maximizing expected profit, which project will she choose?</t>
  </si>
  <si>
    <t>d.  If Bonita is maximizing expected utility, which project will she choose?</t>
  </si>
  <si>
    <t>Bonita CE</t>
  </si>
  <si>
    <t>Jasper CE</t>
  </si>
  <si>
    <t>Hail Damage ($1000s)</t>
  </si>
  <si>
    <t xml:space="preserve">Probability </t>
  </si>
  <si>
    <t xml:space="preserve">b. </t>
  </si>
  <si>
    <t>E(Damage Costs)</t>
  </si>
  <si>
    <t>Std Dev(Damage Costs)</t>
  </si>
  <si>
    <t>Option 1: Full Insurance</t>
  </si>
  <si>
    <t>Insurance policy costs</t>
  </si>
  <si>
    <t>and covers 100% of any damage costs that occur</t>
  </si>
  <si>
    <t>Option 2: Policy with Deductible</t>
  </si>
  <si>
    <t xml:space="preserve">and covers damage costs in excess of </t>
  </si>
  <si>
    <t>Option 3: Self-Insurance</t>
  </si>
  <si>
    <t>Transitowne has no policy premium and pays directly for any damage costs that occur</t>
  </si>
  <si>
    <t xml:space="preserve">c. </t>
  </si>
  <si>
    <t xml:space="preserve">d. </t>
  </si>
  <si>
    <t>TransitTowne Auto Sales is located in an area where thunderstorms occur frequently and can produce golf-ball sized hail that can severely damage automobiles.  TransitTowne's estimate of the financial risk of potential hail damage in the next year is shown in the table below.</t>
    <phoneticPr fontId="5" type="noConversion"/>
  </si>
  <si>
    <t>Calculate the expected damage costs and the standard deviation of the distribution.</t>
    <phoneticPr fontId="5" type="noConversion"/>
  </si>
  <si>
    <t>The CFO of TransitTowne Auto Sales has to decide whether to recommend that the company purchase an insurance policy to cover possible hail damage to its inventory of more than 200 cars and trucks.    There are three insurance poicy alternatives for TransitTowne to consider.</t>
    <phoneticPr fontId="5" type="noConversion"/>
  </si>
  <si>
    <t>Construct a payoff matrix for this problem.</t>
    <phoneticPr fontId="5" type="noConversion"/>
  </si>
  <si>
    <t>The answer shown in ipynb file</t>
    <phoneticPr fontId="5" type="noConversion"/>
  </si>
  <si>
    <t>Complete the table below for which insurnace option would be chosen according to each decision rule</t>
    <phoneticPr fontId="5" type="noConversion"/>
  </si>
  <si>
    <t>Option 3</t>
  </si>
  <si>
    <t>Option 1</t>
  </si>
  <si>
    <t>Option 1: Worst-case = $42,000 (always)Option 2: Worst-case = $45,000 (for any damage above $30,000)Option 3: Worst-case = $84,000 (if damage is $84,000)</t>
    <phoneticPr fontId="5" type="noConversion"/>
  </si>
  <si>
    <t>Option 1: Only one value: 42,000Option 2: Minimum = $15,000 (when damage = $0)Option 3: Minimum = $0 (when damage = $0)</t>
    <phoneticPr fontId="5" type="noConversion"/>
  </si>
  <si>
    <t>Minimax Regret</t>
    <phoneticPr fontId="5" type="noConversion"/>
  </si>
  <si>
    <t>Option 2</t>
  </si>
  <si>
    <t>process show in ipynb file</t>
    <phoneticPr fontId="5" type="noConversion"/>
  </si>
  <si>
    <t>Bonita Durham is a real estate developer considering a risky decision, choosing between three different projects with four possible profit outcomes as shown below. Bonita’s utility function for profit is U(p) = 2ln(p), where p is the dollar amount of profit.  Bonita makes the subjective assessments shown below the table about the probability of each profit outcome.:</t>
    <phoneticPr fontId="5" type="noConversion"/>
  </si>
  <si>
    <t>a.  Calculate the expected profit of Projects Alpha, Bravo and Charlie</t>
    <phoneticPr fontId="5" type="noConversion"/>
  </si>
  <si>
    <r>
      <t xml:space="preserve">e.  Jasper Huang is considering the same risky decision shown above (identical payoff matrix and probability distribution).  Jasper's utility function for profit is U(p) = </t>
    </r>
    <r>
      <rPr>
        <sz val="11"/>
        <color theme="1"/>
        <rFont val="Arial"/>
        <family val="2"/>
      </rPr>
      <t>√</t>
    </r>
    <r>
      <rPr>
        <sz val="11"/>
        <color theme="1"/>
        <rFont val="Calibri"/>
        <family val="2"/>
      </rPr>
      <t xml:space="preserve">(p). (square root of p).  Calculate Jasper's expected utility of profit for Projects Alpha, Bravo and Charlie. </t>
    </r>
    <phoneticPr fontId="5" type="noConversion"/>
  </si>
  <si>
    <t>f.  If Jasper is maximizing expected profit, which project will he choose?</t>
    <phoneticPr fontId="5" type="noConversion"/>
  </si>
  <si>
    <t>Answer show in ipynb file</t>
  </si>
  <si>
    <t>Answer show in ipynb file</t>
    <phoneticPr fontId="5" type="noConversion"/>
  </si>
  <si>
    <t>h.  Considering just Project Charlie…what is each investor's 'certainty equivalent' of Project Charlie?  What is certain dollar amount that makes each investor indifferent between the "sure thing" and the risky Project Charlie?</t>
    <phoneticPr fontId="5" type="noConversion"/>
  </si>
  <si>
    <t>process show in ipynb</t>
  </si>
  <si>
    <t>process show in ipynb</t>
    <phoneticPr fontId="5" type="noConversion"/>
  </si>
  <si>
    <t>Project Charlie, Since 26.4 is the highest</t>
    <phoneticPr fontId="5" type="noConversion"/>
  </si>
  <si>
    <t>Project Alpha, the highest expected utility is 6.271</t>
    <phoneticPr fontId="5" type="noConversion"/>
  </si>
  <si>
    <t>Project Charlie, maximizing expected profit is 26.4</t>
    <phoneticPr fontId="5" type="noConversion"/>
  </si>
  <si>
    <t>Project Bravo, the highest is 4.8163</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</si>
</sst>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26" formatCode="\$#,##0.00_);[Red]\(\$#,##0.00\)"/>
    <numFmt numFmtId="176" formatCode="_(&quot;$&quot;* #,##0.00_);_(&quot;$&quot;* \(#,##0.00\);_(&quot;$&quot;* &quot;-&quot;??_);_(@_)"/>
    <numFmt numFmtId="177" formatCode="_(&quot;$&quot;* #,##0_);_(&quot;$&quot;* \(#,##0\);_(&quot;$&quot;* &quot;-&quot;??_);_(@_)"/>
  </numFmts>
  <fonts count="6">
    <font>
      <sz val="11"/>
      <color theme="1"/>
      <name val="宋体"/>
      <family val="2"/>
      <scheme val="minor"/>
    </font>
    <font>
      <sz val="11"/>
      <color theme="1"/>
      <name val="宋体"/>
      <family val="2"/>
      <scheme val="minor"/>
    </font>
    <font>
      <sz val="11"/>
      <color rgb="FF000000"/>
      <name val="宋体"/>
      <family val="2"/>
      <scheme val="minor"/>
    </font>
    <font>
      <sz val="11"/>
      <color theme="1"/>
      <name val="Arial"/>
      <family val="2"/>
    </font>
    <font>
      <sz val="11"/>
      <color theme="1"/>
      <name val="Calibri"/>
      <family val="2"/>
    </font>
    <font>
      <sz val="9"/>
      <name val="宋体"/>
      <family val="3"/>
      <charset val="134"/>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176"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177" fontId="0" fillId="0" borderId="0" xfId="1" applyNumberFormat="1" applyFont="1"/>
    <xf numFmtId="0" fontId="0" fillId="0" borderId="1" xfId="0" applyBorder="1"/>
    <xf numFmtId="176" fontId="0" fillId="0" borderId="0" xfId="1" applyFont="1"/>
    <xf numFmtId="0" fontId="2" fillId="0" borderId="0" xfId="0" applyFont="1" applyAlignment="1">
      <alignment vertical="top" wrapText="1"/>
    </xf>
    <xf numFmtId="0" fontId="0" fillId="2" borderId="0" xfId="0" applyFill="1"/>
    <xf numFmtId="177" fontId="0" fillId="2" borderId="0" xfId="1" applyNumberFormat="1" applyFont="1" applyFill="1"/>
    <xf numFmtId="176" fontId="0" fillId="2" borderId="0" xfId="1" applyFont="1" applyFill="1"/>
    <xf numFmtId="176" fontId="0" fillId="0" borderId="0" xfId="1" applyFont="1" applyFill="1"/>
    <xf numFmtId="176" fontId="0" fillId="2" borderId="0" xfId="0" applyNumberFormat="1" applyFill="1"/>
    <xf numFmtId="177" fontId="0" fillId="0" borderId="2" xfId="1" applyNumberFormat="1" applyFont="1" applyBorder="1"/>
    <xf numFmtId="9" fontId="0" fillId="0" borderId="0" xfId="2" applyFont="1"/>
    <xf numFmtId="0" fontId="0" fillId="0" borderId="0" xfId="0" applyAlignment="1">
      <alignment wrapText="1"/>
    </xf>
    <xf numFmtId="26" fontId="0" fillId="0" borderId="0" xfId="0" applyNumberFormat="1"/>
    <xf numFmtId="0" fontId="0" fillId="0" borderId="0" xfId="0" applyAlignment="1">
      <alignment horizontal="left" vertical="top" wrapText="1"/>
    </xf>
    <xf numFmtId="0" fontId="0" fillId="0" borderId="0" xfId="0"/>
    <xf numFmtId="0" fontId="2" fillId="0" borderId="0" xfId="0" applyFont="1" applyAlignment="1">
      <alignment horizontal="left" wrapText="1"/>
    </xf>
    <xf numFmtId="0" fontId="0" fillId="0" borderId="0" xfId="0" applyAlignment="1">
      <alignment horizontal="left" wrapText="1"/>
    </xf>
    <xf numFmtId="0" fontId="0" fillId="0" borderId="1" xfId="0" applyBorder="1" applyAlignment="1">
      <alignment horizontal="center"/>
    </xf>
  </cellXfs>
  <cellStyles count="3">
    <cellStyle name="百分比" xfId="2" builtinId="5"/>
    <cellStyle name="常规" xfId="0" builtinId="0"/>
    <cellStyle name="货币"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96CA6-37B4-420E-8B0B-67CD13B539E2}">
  <dimension ref="A1:J27"/>
  <sheetViews>
    <sheetView tabSelected="1" topLeftCell="A2" zoomScale="93" workbookViewId="0">
      <selection activeCell="A21" sqref="A21"/>
    </sheetView>
  </sheetViews>
  <sheetFormatPr baseColWidth="10" defaultColWidth="8.83203125" defaultRowHeight="14"/>
  <cols>
    <col min="1" max="1" width="50.83203125" customWidth="1"/>
    <col min="2" max="2" width="41.5" customWidth="1"/>
    <col min="3" max="3" width="12" customWidth="1"/>
    <col min="4" max="4" width="28.83203125" customWidth="1"/>
    <col min="5" max="5" width="10.83203125" bestFit="1" customWidth="1"/>
    <col min="9" max="9" width="10.83203125" bestFit="1" customWidth="1"/>
  </cols>
  <sheetData>
    <row r="1" spans="1:10">
      <c r="A1" s="14" t="s">
        <v>30</v>
      </c>
      <c r="B1" s="14"/>
      <c r="C1" s="14"/>
      <c r="D1" s="14"/>
      <c r="E1" s="14"/>
      <c r="F1" s="14"/>
      <c r="G1" s="14"/>
      <c r="H1" s="14"/>
      <c r="I1" s="14"/>
      <c r="J1" s="14"/>
    </row>
    <row r="2" spans="1:10">
      <c r="A2" s="14"/>
      <c r="B2" s="14"/>
      <c r="C2" s="14"/>
      <c r="D2" s="14"/>
      <c r="E2" s="14"/>
      <c r="F2" s="14"/>
      <c r="G2" s="14"/>
      <c r="H2" s="14"/>
      <c r="I2" s="14"/>
      <c r="J2" s="14"/>
    </row>
    <row r="3" spans="1:10">
      <c r="A3" s="14"/>
      <c r="B3" s="14"/>
      <c r="C3" s="14"/>
      <c r="D3" s="14"/>
      <c r="E3" s="14"/>
      <c r="F3" s="14"/>
      <c r="G3" s="14"/>
      <c r="H3" s="14"/>
      <c r="I3" s="14"/>
      <c r="J3" s="14"/>
    </row>
    <row r="4" spans="1:10">
      <c r="A4" s="14"/>
      <c r="B4" s="14"/>
      <c r="C4" s="14"/>
      <c r="D4" s="14"/>
      <c r="E4" s="14"/>
      <c r="F4" s="14"/>
      <c r="G4" s="14"/>
      <c r="H4" s="14"/>
      <c r="I4" s="14"/>
      <c r="J4" s="14"/>
    </row>
    <row r="6" spans="1:10">
      <c r="A6" t="s">
        <v>16</v>
      </c>
      <c r="B6" s="10">
        <v>0</v>
      </c>
      <c r="C6" s="10">
        <v>12</v>
      </c>
      <c r="D6" s="10">
        <v>24</v>
      </c>
      <c r="E6" s="10">
        <v>36</v>
      </c>
      <c r="F6" s="10">
        <v>48</v>
      </c>
      <c r="G6" s="10">
        <v>60</v>
      </c>
      <c r="H6" s="10">
        <v>72</v>
      </c>
      <c r="I6" s="10">
        <v>84</v>
      </c>
    </row>
    <row r="7" spans="1:10">
      <c r="A7" t="s">
        <v>17</v>
      </c>
      <c r="B7" s="11">
        <v>0.05</v>
      </c>
      <c r="C7" s="11">
        <v>0.1</v>
      </c>
      <c r="D7" s="11">
        <v>0.15</v>
      </c>
      <c r="E7" s="11">
        <v>0.22</v>
      </c>
      <c r="F7" s="11">
        <v>0.2</v>
      </c>
      <c r="G7" s="11">
        <v>0.16</v>
      </c>
      <c r="H7" s="11">
        <v>0.09</v>
      </c>
      <c r="I7" s="11">
        <v>0.03</v>
      </c>
    </row>
    <row r="9" spans="1:10">
      <c r="A9" t="s">
        <v>18</v>
      </c>
      <c r="B9" t="s">
        <v>31</v>
      </c>
    </row>
    <row r="10" spans="1:10">
      <c r="B10" t="s">
        <v>19</v>
      </c>
      <c r="C10">
        <f>SUMPRODUCT(B6:I6,B7:I7)</f>
        <v>40.92</v>
      </c>
      <c r="E10" s="6"/>
    </row>
    <row r="11" spans="1:10">
      <c r="B11" t="s">
        <v>20</v>
      </c>
      <c r="C11" cm="1">
        <f t="array" ref="C11">SQRT(SUMPRODUCT(B7:I7,(B6:I6-SUMPRODUCT(B6:I6,B7:I7))^2))</f>
        <v>20.65220569333939</v>
      </c>
      <c r="E11" s="7"/>
    </row>
    <row r="13" spans="1:10">
      <c r="A13" s="14" t="s">
        <v>32</v>
      </c>
      <c r="B13" s="14"/>
      <c r="C13" s="14"/>
      <c r="D13" s="14"/>
      <c r="E13" s="14"/>
      <c r="F13" s="14"/>
      <c r="G13" s="14"/>
      <c r="H13" s="14"/>
      <c r="I13" s="14"/>
      <c r="J13" s="14"/>
    </row>
    <row r="14" spans="1:10">
      <c r="A14" s="14"/>
      <c r="B14" s="14"/>
      <c r="C14" s="14"/>
      <c r="D14" s="14"/>
      <c r="E14" s="14"/>
      <c r="F14" s="14"/>
      <c r="G14" s="14"/>
      <c r="H14" s="14"/>
      <c r="I14" s="14"/>
      <c r="J14" s="14"/>
    </row>
    <row r="15" spans="1:10">
      <c r="A15" s="14"/>
      <c r="B15" s="14"/>
      <c r="C15" s="14"/>
      <c r="D15" s="14"/>
      <c r="E15" s="14"/>
      <c r="F15" s="14"/>
      <c r="G15" s="14"/>
      <c r="H15" s="14"/>
      <c r="I15" s="14"/>
      <c r="J15" s="14"/>
    </row>
    <row r="17" spans="1:9">
      <c r="A17" t="s">
        <v>21</v>
      </c>
      <c r="B17" t="s">
        <v>22</v>
      </c>
      <c r="D17" s="1">
        <v>42000</v>
      </c>
      <c r="E17" t="s">
        <v>23</v>
      </c>
    </row>
    <row r="18" spans="1:9">
      <c r="A18" t="s">
        <v>24</v>
      </c>
      <c r="B18" t="s">
        <v>22</v>
      </c>
      <c r="D18" s="1">
        <v>15000</v>
      </c>
      <c r="E18" t="s">
        <v>25</v>
      </c>
      <c r="I18" s="1">
        <v>30000</v>
      </c>
    </row>
    <row r="19" spans="1:9">
      <c r="A19" t="s">
        <v>26</v>
      </c>
      <c r="B19" t="s">
        <v>27</v>
      </c>
    </row>
    <row r="21" spans="1:9">
      <c r="A21" t="s">
        <v>28</v>
      </c>
      <c r="B21" t="s">
        <v>33</v>
      </c>
      <c r="C21" t="s">
        <v>34</v>
      </c>
    </row>
    <row r="22" spans="1:9">
      <c r="A22" t="s">
        <v>29</v>
      </c>
      <c r="B22" t="s">
        <v>35</v>
      </c>
    </row>
    <row r="23" spans="1:9" ht="75">
      <c r="B23" t="s">
        <v>2</v>
      </c>
      <c r="C23" t="s">
        <v>36</v>
      </c>
      <c r="D23" s="12" t="s">
        <v>39</v>
      </c>
    </row>
    <row r="24" spans="1:9">
      <c r="B24" t="s">
        <v>3</v>
      </c>
      <c r="C24" t="s">
        <v>37</v>
      </c>
      <c r="D24" t="s">
        <v>38</v>
      </c>
    </row>
    <row r="25" spans="1:9">
      <c r="B25" t="s">
        <v>40</v>
      </c>
      <c r="C25" t="s">
        <v>41</v>
      </c>
      <c r="D25" s="15" t="s">
        <v>42</v>
      </c>
    </row>
    <row r="26" spans="1:9">
      <c r="B26" t="s">
        <v>4</v>
      </c>
      <c r="C26" t="s">
        <v>41</v>
      </c>
      <c r="D26" s="15"/>
    </row>
    <row r="27" spans="1:9">
      <c r="B27" t="s">
        <v>5</v>
      </c>
      <c r="C27" t="s">
        <v>41</v>
      </c>
      <c r="D27" s="15"/>
    </row>
  </sheetData>
  <mergeCells count="3">
    <mergeCell ref="A1:J4"/>
    <mergeCell ref="A13:J15"/>
    <mergeCell ref="D25:D27"/>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zoomScale="99" zoomScaleNormal="98" workbookViewId="0">
      <selection activeCell="B38" sqref="B38"/>
    </sheetView>
  </sheetViews>
  <sheetFormatPr baseColWidth="10" defaultColWidth="8.83203125" defaultRowHeight="14"/>
  <cols>
    <col min="1" max="1" width="13.33203125" customWidth="1"/>
    <col min="2" max="6" width="10.83203125" bestFit="1" customWidth="1"/>
    <col min="7" max="7" width="10.1640625" bestFit="1" customWidth="1"/>
  </cols>
  <sheetData>
    <row r="1" spans="1:10" ht="14.25" customHeight="1">
      <c r="A1" s="16" t="s">
        <v>43</v>
      </c>
      <c r="B1" s="16"/>
      <c r="C1" s="16"/>
      <c r="D1" s="16"/>
      <c r="E1" s="16"/>
      <c r="F1" s="16"/>
      <c r="G1" s="16"/>
      <c r="H1" s="16"/>
      <c r="I1" s="16"/>
      <c r="J1" s="16"/>
    </row>
    <row r="2" spans="1:10">
      <c r="A2" s="16"/>
      <c r="B2" s="16"/>
      <c r="C2" s="16"/>
      <c r="D2" s="16"/>
      <c r="E2" s="16"/>
      <c r="F2" s="16"/>
      <c r="G2" s="16"/>
      <c r="H2" s="16"/>
      <c r="I2" s="16"/>
      <c r="J2" s="16"/>
    </row>
    <row r="3" spans="1:10">
      <c r="A3" s="16"/>
      <c r="B3" s="16"/>
      <c r="C3" s="16"/>
      <c r="D3" s="16"/>
      <c r="E3" s="16"/>
      <c r="F3" s="16"/>
      <c r="G3" s="16"/>
      <c r="H3" s="16"/>
      <c r="I3" s="16"/>
      <c r="J3" s="16"/>
    </row>
    <row r="4" spans="1:10">
      <c r="A4" s="4"/>
      <c r="B4" s="4"/>
      <c r="C4" s="4"/>
      <c r="D4" s="4"/>
      <c r="E4" s="4"/>
      <c r="F4" s="4"/>
      <c r="G4" s="4"/>
      <c r="H4" s="4"/>
      <c r="I4" s="4"/>
      <c r="J4" s="4"/>
    </row>
    <row r="5" spans="1:10">
      <c r="A5" s="2" t="s">
        <v>6</v>
      </c>
      <c r="B5" s="18" t="s">
        <v>0</v>
      </c>
      <c r="C5" s="18"/>
      <c r="D5" s="18"/>
      <c r="E5" s="18"/>
    </row>
    <row r="6" spans="1:10">
      <c r="A6" t="s">
        <v>7</v>
      </c>
      <c r="B6" s="3">
        <v>23</v>
      </c>
      <c r="C6" s="3">
        <v>23</v>
      </c>
      <c r="D6" s="3">
        <v>23</v>
      </c>
      <c r="E6" s="3">
        <v>23</v>
      </c>
      <c r="F6" s="8"/>
    </row>
    <row r="7" spans="1:10">
      <c r="A7" t="s">
        <v>8</v>
      </c>
      <c r="B7" s="3">
        <v>17.2</v>
      </c>
      <c r="C7" s="3">
        <v>19</v>
      </c>
      <c r="D7" s="3">
        <v>22.5</v>
      </c>
      <c r="E7" s="3">
        <v>30</v>
      </c>
      <c r="F7" s="8"/>
    </row>
    <row r="8" spans="1:10">
      <c r="A8" t="s">
        <v>9</v>
      </c>
      <c r="B8" s="3">
        <v>12</v>
      </c>
      <c r="C8" s="3">
        <v>12</v>
      </c>
      <c r="D8" s="3">
        <v>12</v>
      </c>
      <c r="E8" s="3">
        <v>60</v>
      </c>
      <c r="F8" s="8"/>
    </row>
    <row r="10" spans="1:10">
      <c r="A10" t="s">
        <v>1</v>
      </c>
      <c r="B10">
        <v>0.15</v>
      </c>
      <c r="C10">
        <v>0.15</v>
      </c>
      <c r="D10">
        <v>0.4</v>
      </c>
      <c r="E10">
        <v>0.3</v>
      </c>
    </row>
    <row r="13" spans="1:10">
      <c r="A13" t="s">
        <v>44</v>
      </c>
    </row>
    <row r="14" spans="1:10">
      <c r="A14" t="s">
        <v>48</v>
      </c>
    </row>
    <row r="15" spans="1:10">
      <c r="A15" t="s">
        <v>10</v>
      </c>
    </row>
    <row r="16" spans="1:10">
      <c r="A16" t="s">
        <v>48</v>
      </c>
    </row>
    <row r="17" spans="1:10">
      <c r="A17" t="s">
        <v>12</v>
      </c>
      <c r="G17" s="9"/>
    </row>
    <row r="18" spans="1:10">
      <c r="A18" t="s">
        <v>52</v>
      </c>
      <c r="G18" s="9"/>
    </row>
    <row r="19" spans="1:10">
      <c r="A19" t="s">
        <v>13</v>
      </c>
      <c r="G19" s="5"/>
    </row>
    <row r="20" spans="1:10">
      <c r="A20" t="s">
        <v>53</v>
      </c>
    </row>
    <row r="22" spans="1:10">
      <c r="A22" s="14" t="s">
        <v>45</v>
      </c>
      <c r="B22" s="14"/>
      <c r="C22" s="14"/>
      <c r="D22" s="14"/>
      <c r="E22" s="14"/>
      <c r="F22" s="14"/>
      <c r="G22" s="14"/>
      <c r="H22" s="14"/>
      <c r="I22" s="14"/>
      <c r="J22" s="14"/>
    </row>
    <row r="23" spans="1:10">
      <c r="A23" s="14"/>
      <c r="B23" s="14"/>
      <c r="C23" s="14"/>
      <c r="D23" s="14"/>
      <c r="E23" s="14"/>
      <c r="F23" s="14"/>
      <c r="G23" s="14"/>
      <c r="H23" s="14"/>
      <c r="I23" s="14"/>
      <c r="J23" s="14"/>
    </row>
    <row r="24" spans="1:10">
      <c r="A24" s="14"/>
      <c r="B24" s="14"/>
      <c r="C24" s="14"/>
      <c r="D24" s="14"/>
      <c r="E24" s="14"/>
      <c r="F24" s="14"/>
      <c r="G24" s="14"/>
      <c r="H24" s="14"/>
      <c r="I24" s="14"/>
      <c r="J24" s="14"/>
    </row>
    <row r="25" spans="1:10">
      <c r="A25" t="s">
        <v>47</v>
      </c>
    </row>
    <row r="27" spans="1:10">
      <c r="A27" t="s">
        <v>46</v>
      </c>
      <c r="G27" s="5"/>
    </row>
    <row r="28" spans="1:10">
      <c r="A28" t="s">
        <v>54</v>
      </c>
      <c r="G28" s="5"/>
    </row>
    <row r="29" spans="1:10">
      <c r="A29" t="s">
        <v>11</v>
      </c>
    </row>
    <row r="30" spans="1:10">
      <c r="A30" t="s">
        <v>55</v>
      </c>
    </row>
    <row r="32" spans="1:10" ht="14.25" customHeight="1">
      <c r="A32" s="17" t="s">
        <v>49</v>
      </c>
      <c r="B32" s="17"/>
      <c r="C32" s="17"/>
      <c r="D32" s="17"/>
      <c r="E32" s="17"/>
      <c r="F32" s="17"/>
      <c r="G32" s="17"/>
      <c r="H32" s="17"/>
      <c r="I32" s="17"/>
      <c r="J32" s="17"/>
    </row>
    <row r="33" spans="1:10">
      <c r="A33" s="17"/>
      <c r="B33" s="17"/>
      <c r="C33" s="17"/>
      <c r="D33" s="17"/>
      <c r="E33" s="17"/>
      <c r="F33" s="17"/>
      <c r="G33" s="17"/>
      <c r="H33" s="17"/>
      <c r="I33" s="17"/>
      <c r="J33" s="17"/>
    </row>
    <row r="35" spans="1:10">
      <c r="A35" t="s">
        <v>14</v>
      </c>
      <c r="B35" s="13">
        <v>19.45</v>
      </c>
      <c r="C35" t="s">
        <v>51</v>
      </c>
      <c r="F35" t="s">
        <v>15</v>
      </c>
      <c r="G35" s="7">
        <v>22.55</v>
      </c>
      <c r="H35" t="s">
        <v>50</v>
      </c>
    </row>
  </sheetData>
  <mergeCells count="4">
    <mergeCell ref="A1:J3"/>
    <mergeCell ref="A32:J33"/>
    <mergeCell ref="B5:E5"/>
    <mergeCell ref="A22:J24"/>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Question 1</vt:lpstr>
      <vt:lpstr>Question 2</vt:lpstr>
    </vt:vector>
  </TitlesOfParts>
  <Company>University at Buffalo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Mohr</dc:creator>
  <cp:lastModifiedBy>He, Zongyi</cp:lastModifiedBy>
  <dcterms:created xsi:type="dcterms:W3CDTF">2018-01-25T00:51:20Z</dcterms:created>
  <dcterms:modified xsi:type="dcterms:W3CDTF">2025-02-17T21:08:40Z</dcterms:modified>
</cp:coreProperties>
</file>